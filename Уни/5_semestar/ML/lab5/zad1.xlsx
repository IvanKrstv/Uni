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krastev/Uni/Уни/5_semestar/ML/lab5/"/>
    </mc:Choice>
  </mc:AlternateContent>
  <xr:revisionPtr revIDLastSave="0" documentId="13_ncr:1_{2AFF47ED-65CE-ED49-AA01-AE8B3671D576}" xr6:coauthVersionLast="47" xr6:coauthVersionMax="47" xr10:uidLastSave="{00000000-0000-0000-0000-000000000000}"/>
  <bookViews>
    <workbookView xWindow="660" yWindow="780" windowWidth="28040" windowHeight="16600" xr2:uid="{4524037C-13A5-6E49-A12C-2CE50CD7FF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6" i="1" l="1"/>
  <c r="F35" i="1"/>
  <c r="F34" i="1"/>
  <c r="F31" i="1"/>
  <c r="F30" i="1"/>
  <c r="F29" i="1"/>
  <c r="F26" i="1"/>
  <c r="F25" i="1"/>
  <c r="F24" i="1"/>
</calcChain>
</file>

<file path=xl/sharedStrings.xml><?xml version="1.0" encoding="utf-8"?>
<sst xmlns="http://schemas.openxmlformats.org/spreadsheetml/2006/main" count="175" uniqueCount="48">
  <si>
    <t>X1</t>
  </si>
  <si>
    <t>Y</t>
  </si>
  <si>
    <t>Време</t>
  </si>
  <si>
    <t>Победа</t>
  </si>
  <si>
    <t>Загуба</t>
  </si>
  <si>
    <t>Равенство</t>
  </si>
  <si>
    <t>слънчево</t>
  </si>
  <si>
    <t>облачно</t>
  </si>
  <si>
    <t>дъждовно</t>
  </si>
  <si>
    <t>общо</t>
  </si>
  <si>
    <t>X2</t>
  </si>
  <si>
    <t>X3</t>
  </si>
  <si>
    <t>X4</t>
  </si>
  <si>
    <t>X5</t>
  </si>
  <si>
    <t>Терен</t>
  </si>
  <si>
    <t>Влажност</t>
  </si>
  <si>
    <t>Ветровито</t>
  </si>
  <si>
    <t>Ключови играчи</t>
  </si>
  <si>
    <t>свой</t>
  </si>
  <si>
    <t>чужд</t>
  </si>
  <si>
    <t>висока</t>
  </si>
  <si>
    <t>ниска</t>
  </si>
  <si>
    <t>да</t>
  </si>
  <si>
    <t>не</t>
  </si>
  <si>
    <t>присъстват</t>
  </si>
  <si>
    <t>не присъстват</t>
  </si>
  <si>
    <t>P(победа|слънчево, свой, ниска, не, присъстват)</t>
  </si>
  <si>
    <t>P(загуба|слънчево, свой, ниска, не, присъстват)</t>
  </si>
  <si>
    <t>P(равенство|слънчево, свой, ниска, не, присъстват)</t>
  </si>
  <si>
    <t>(3+1)/(6+3) = 4/9</t>
  </si>
  <si>
    <t>(0+1)/(6+3) = 1/9</t>
  </si>
  <si>
    <t>(0+1)/(2+3) = 1/5</t>
  </si>
  <si>
    <t>(1+1)/(2+3) = 2/5</t>
  </si>
  <si>
    <t>(5+1)/(6+2) = 6/8</t>
  </si>
  <si>
    <t>(1+1)/(6+2) = 2/8</t>
  </si>
  <si>
    <t>(0+1)/(2+2) = 1/4</t>
  </si>
  <si>
    <t>(2+1)/(2+2) = 3/4</t>
  </si>
  <si>
    <t>(4+1)/(6+2) = 5/8</t>
  </si>
  <si>
    <t>(2+1)/(6+2) = 3/8</t>
  </si>
  <si>
    <t>(1+1)/(2+2) = 2/4</t>
  </si>
  <si>
    <t>Лапласови изглаждания:</t>
  </si>
  <si>
    <t>След лапласови изглаждания:</t>
  </si>
  <si>
    <t>P1</t>
  </si>
  <si>
    <t>P2</t>
  </si>
  <si>
    <t>P3</t>
  </si>
  <si>
    <t>Нормализирани стойности:</t>
  </si>
  <si>
    <t>Извод:</t>
  </si>
  <si>
    <t>От формули (13), (14) и (15) следва, че Р1&gt;P3&gt;P2, т.е. най-голяма е вероятността
отборът да победи при тези условия.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</si>
</sst>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/>
    <xf numFmtId="2" fontId="0" fillId="0" borderId="1" xfId="0" applyNumberFormat="1" applyBorder="1"/>
    <xf numFmtId="49" fontId="0" fillId="0" borderId="1" xfId="0" applyNumberFormat="1" applyBorder="1"/>
    <xf numFmtId="49" fontId="1" fillId="0" borderId="1" xfId="0" applyNumberFormat="1" applyFont="1" applyBorder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C01E7-B639-F844-B02E-6B875BE39A47}">
  <dimension ref="A1:U39"/>
  <sheetViews>
    <sheetView tabSelected="1" topLeftCell="A29" workbookViewId="0">
      <selection activeCell="E40" sqref="E40"/>
    </sheetView>
  </sheetViews>
  <sheetFormatPr baseColWidth="10" defaultRowHeight="16" x14ac:dyDescent="0.2"/>
  <cols>
    <col min="5" max="5" width="16.33203125" customWidth="1"/>
    <col min="7" max="7" width="15.5" customWidth="1"/>
    <col min="14" max="14" width="16.6640625" customWidth="1"/>
    <col min="15" max="15" width="16" customWidth="1"/>
    <col min="16" max="16" width="15.83203125" customWidth="1"/>
    <col min="19" max="19" width="15.6640625" customWidth="1"/>
    <col min="20" max="20" width="15.33203125" customWidth="1"/>
    <col min="21" max="21" width="18.1640625" customWidth="1"/>
  </cols>
  <sheetData>
    <row r="1" spans="1:21" x14ac:dyDescent="0.2">
      <c r="A1" s="1" t="s">
        <v>0</v>
      </c>
      <c r="B1" s="2" t="s">
        <v>1</v>
      </c>
      <c r="C1" s="2"/>
      <c r="D1" s="2"/>
      <c r="G1" s="1" t="s">
        <v>12</v>
      </c>
      <c r="H1" s="2" t="s">
        <v>1</v>
      </c>
      <c r="I1" s="2"/>
      <c r="J1" s="2"/>
      <c r="M1" s="1" t="s">
        <v>0</v>
      </c>
      <c r="N1" s="2" t="s">
        <v>1</v>
      </c>
      <c r="O1" s="2"/>
      <c r="P1" s="2"/>
      <c r="R1" s="1" t="s">
        <v>12</v>
      </c>
      <c r="S1" s="2" t="s">
        <v>1</v>
      </c>
      <c r="T1" s="2"/>
      <c r="U1" s="2"/>
    </row>
    <row r="2" spans="1:21" x14ac:dyDescent="0.2">
      <c r="A2" s="1" t="s">
        <v>2</v>
      </c>
      <c r="B2" s="1" t="s">
        <v>3</v>
      </c>
      <c r="C2" s="1" t="s">
        <v>4</v>
      </c>
      <c r="D2" s="1" t="s">
        <v>5</v>
      </c>
      <c r="G2" s="1" t="s">
        <v>16</v>
      </c>
      <c r="H2" s="1" t="s">
        <v>3</v>
      </c>
      <c r="I2" s="1" t="s">
        <v>4</v>
      </c>
      <c r="J2" s="1" t="s">
        <v>5</v>
      </c>
      <c r="M2" s="1" t="s">
        <v>2</v>
      </c>
      <c r="N2" s="1" t="s">
        <v>3</v>
      </c>
      <c r="O2" s="1" t="s">
        <v>4</v>
      </c>
      <c r="P2" s="1" t="s">
        <v>5</v>
      </c>
      <c r="R2" s="1" t="s">
        <v>16</v>
      </c>
      <c r="S2" s="1" t="s">
        <v>3</v>
      </c>
      <c r="T2" s="1" t="s">
        <v>4</v>
      </c>
      <c r="U2" s="1" t="s">
        <v>5</v>
      </c>
    </row>
    <row r="3" spans="1:21" x14ac:dyDescent="0.2">
      <c r="A3" s="1" t="s">
        <v>6</v>
      </c>
      <c r="B3" s="1">
        <v>3</v>
      </c>
      <c r="C3" s="1">
        <v>1</v>
      </c>
      <c r="D3" s="1">
        <v>1</v>
      </c>
      <c r="G3" s="1" t="s">
        <v>22</v>
      </c>
      <c r="H3" s="1">
        <v>2</v>
      </c>
      <c r="I3" s="1">
        <v>1</v>
      </c>
      <c r="J3" s="1">
        <v>0</v>
      </c>
      <c r="M3" s="1" t="s">
        <v>6</v>
      </c>
      <c r="N3" s="4">
        <v>0.5</v>
      </c>
      <c r="O3" s="4">
        <v>0.5</v>
      </c>
      <c r="P3" s="4">
        <v>0.5</v>
      </c>
      <c r="R3" s="1" t="s">
        <v>22</v>
      </c>
      <c r="S3" s="4">
        <v>0.33333333333333331</v>
      </c>
      <c r="T3" s="4">
        <v>0.5</v>
      </c>
      <c r="U3" s="4">
        <v>0</v>
      </c>
    </row>
    <row r="4" spans="1:21" x14ac:dyDescent="0.2">
      <c r="A4" s="1" t="s">
        <v>7</v>
      </c>
      <c r="B4" s="1">
        <v>3</v>
      </c>
      <c r="C4" s="1">
        <v>0</v>
      </c>
      <c r="D4" s="1">
        <v>0</v>
      </c>
      <c r="G4" s="1" t="s">
        <v>23</v>
      </c>
      <c r="H4" s="1">
        <v>4</v>
      </c>
      <c r="I4" s="1">
        <v>1</v>
      </c>
      <c r="J4" s="1">
        <v>2</v>
      </c>
      <c r="M4" s="1" t="s">
        <v>7</v>
      </c>
      <c r="N4" s="4">
        <v>0.5</v>
      </c>
      <c r="O4" s="4">
        <v>0</v>
      </c>
      <c r="P4" s="4">
        <v>0</v>
      </c>
      <c r="R4" s="1" t="s">
        <v>23</v>
      </c>
      <c r="S4" s="4">
        <v>0.66666666666666663</v>
      </c>
      <c r="T4" s="4">
        <v>0.5</v>
      </c>
      <c r="U4" s="4">
        <v>1</v>
      </c>
    </row>
    <row r="5" spans="1:21" x14ac:dyDescent="0.2">
      <c r="A5" s="1" t="s">
        <v>8</v>
      </c>
      <c r="B5" s="1">
        <v>0</v>
      </c>
      <c r="C5" s="1">
        <v>1</v>
      </c>
      <c r="D5" s="1">
        <v>1</v>
      </c>
      <c r="G5" s="1" t="s">
        <v>9</v>
      </c>
      <c r="H5" s="1">
        <v>6</v>
      </c>
      <c r="I5" s="1">
        <v>2</v>
      </c>
      <c r="J5" s="1">
        <v>2</v>
      </c>
      <c r="M5" s="1" t="s">
        <v>8</v>
      </c>
      <c r="N5" s="4">
        <v>0</v>
      </c>
      <c r="O5" s="4">
        <v>0.5</v>
      </c>
      <c r="P5" s="4">
        <v>0.5</v>
      </c>
    </row>
    <row r="6" spans="1:21" x14ac:dyDescent="0.2">
      <c r="A6" s="3" t="s">
        <v>9</v>
      </c>
      <c r="B6" s="3">
        <v>6</v>
      </c>
      <c r="C6" s="3">
        <v>2</v>
      </c>
      <c r="D6" s="3">
        <v>2</v>
      </c>
    </row>
    <row r="7" spans="1:21" x14ac:dyDescent="0.2">
      <c r="M7" s="1" t="s">
        <v>10</v>
      </c>
      <c r="N7" s="2" t="s">
        <v>1</v>
      </c>
      <c r="O7" s="2"/>
      <c r="P7" s="2"/>
      <c r="R7" s="1" t="s">
        <v>13</v>
      </c>
      <c r="S7" s="2" t="s">
        <v>1</v>
      </c>
      <c r="T7" s="2"/>
      <c r="U7" s="2"/>
    </row>
    <row r="8" spans="1:21" x14ac:dyDescent="0.2">
      <c r="A8" s="1" t="s">
        <v>10</v>
      </c>
      <c r="B8" s="2" t="s">
        <v>1</v>
      </c>
      <c r="C8" s="2"/>
      <c r="D8" s="2"/>
      <c r="G8" s="1" t="s">
        <v>13</v>
      </c>
      <c r="H8" s="2" t="s">
        <v>1</v>
      </c>
      <c r="I8" s="2"/>
      <c r="J8" s="2"/>
      <c r="M8" s="1" t="s">
        <v>14</v>
      </c>
      <c r="N8" s="1" t="s">
        <v>3</v>
      </c>
      <c r="O8" s="1" t="s">
        <v>4</v>
      </c>
      <c r="P8" s="1" t="s">
        <v>5</v>
      </c>
      <c r="R8" s="1" t="s">
        <v>17</v>
      </c>
      <c r="S8" s="1" t="s">
        <v>3</v>
      </c>
      <c r="T8" s="1" t="s">
        <v>4</v>
      </c>
      <c r="U8" s="1" t="s">
        <v>5</v>
      </c>
    </row>
    <row r="9" spans="1:21" x14ac:dyDescent="0.2">
      <c r="A9" s="1" t="s">
        <v>14</v>
      </c>
      <c r="B9" s="1" t="s">
        <v>3</v>
      </c>
      <c r="C9" s="1" t="s">
        <v>4</v>
      </c>
      <c r="D9" s="1" t="s">
        <v>5</v>
      </c>
      <c r="G9" s="1" t="s">
        <v>17</v>
      </c>
      <c r="H9" s="1" t="s">
        <v>3</v>
      </c>
      <c r="I9" s="1" t="s">
        <v>4</v>
      </c>
      <c r="J9" s="1" t="s">
        <v>5</v>
      </c>
      <c r="M9" s="1" t="s">
        <v>18</v>
      </c>
      <c r="N9" s="4">
        <v>0.83333333333333337</v>
      </c>
      <c r="O9" s="4">
        <v>0</v>
      </c>
      <c r="P9" s="4">
        <v>0</v>
      </c>
      <c r="R9" s="1" t="s">
        <v>24</v>
      </c>
      <c r="S9" s="4">
        <v>0.66666666666666663</v>
      </c>
      <c r="T9" s="4">
        <v>0</v>
      </c>
      <c r="U9" s="4">
        <v>1</v>
      </c>
    </row>
    <row r="10" spans="1:21" x14ac:dyDescent="0.2">
      <c r="A10" s="1" t="s">
        <v>18</v>
      </c>
      <c r="B10" s="1">
        <v>5</v>
      </c>
      <c r="C10" s="1">
        <v>0</v>
      </c>
      <c r="D10" s="1">
        <v>0</v>
      </c>
      <c r="G10" s="1" t="s">
        <v>24</v>
      </c>
      <c r="H10" s="1">
        <v>4</v>
      </c>
      <c r="I10" s="1">
        <v>0</v>
      </c>
      <c r="J10" s="1">
        <v>2</v>
      </c>
      <c r="M10" s="1" t="s">
        <v>19</v>
      </c>
      <c r="N10" s="4">
        <v>0.16666666666666666</v>
      </c>
      <c r="O10" s="4">
        <v>1</v>
      </c>
      <c r="P10" s="4">
        <v>1</v>
      </c>
      <c r="R10" s="1" t="s">
        <v>25</v>
      </c>
      <c r="S10" s="4">
        <v>0.33333333333333331</v>
      </c>
      <c r="T10" s="4">
        <v>1</v>
      </c>
      <c r="U10" s="4">
        <v>0</v>
      </c>
    </row>
    <row r="11" spans="1:21" x14ac:dyDescent="0.2">
      <c r="A11" s="1" t="s">
        <v>19</v>
      </c>
      <c r="B11" s="1">
        <v>1</v>
      </c>
      <c r="C11" s="1">
        <v>2</v>
      </c>
      <c r="D11" s="1">
        <v>2</v>
      </c>
      <c r="G11" s="1" t="s">
        <v>25</v>
      </c>
      <c r="H11" s="1">
        <v>2</v>
      </c>
      <c r="I11" s="1">
        <v>2</v>
      </c>
      <c r="J11" s="1">
        <v>0</v>
      </c>
    </row>
    <row r="12" spans="1:21" x14ac:dyDescent="0.2">
      <c r="A12" s="1" t="s">
        <v>9</v>
      </c>
      <c r="B12" s="1">
        <v>6</v>
      </c>
      <c r="C12" s="1">
        <v>2</v>
      </c>
      <c r="D12" s="1">
        <v>2</v>
      </c>
      <c r="G12" s="1" t="s">
        <v>9</v>
      </c>
      <c r="H12" s="1">
        <v>6</v>
      </c>
      <c r="I12" s="1">
        <v>2</v>
      </c>
      <c r="J12" s="1">
        <v>2</v>
      </c>
    </row>
    <row r="13" spans="1:21" x14ac:dyDescent="0.2">
      <c r="M13" s="1" t="s">
        <v>11</v>
      </c>
      <c r="N13" s="2" t="s">
        <v>1</v>
      </c>
      <c r="O13" s="2"/>
      <c r="P13" s="2"/>
    </row>
    <row r="14" spans="1:21" x14ac:dyDescent="0.2">
      <c r="M14" s="1" t="s">
        <v>15</v>
      </c>
      <c r="N14" s="1" t="s">
        <v>3</v>
      </c>
      <c r="O14" s="1" t="s">
        <v>4</v>
      </c>
      <c r="P14" s="1" t="s">
        <v>5</v>
      </c>
    </row>
    <row r="15" spans="1:21" x14ac:dyDescent="0.2">
      <c r="A15" s="1" t="s">
        <v>11</v>
      </c>
      <c r="B15" s="2" t="s">
        <v>1</v>
      </c>
      <c r="C15" s="2"/>
      <c r="D15" s="2"/>
      <c r="M15" s="1" t="s">
        <v>20</v>
      </c>
      <c r="N15" s="4">
        <v>0.33333333333333331</v>
      </c>
      <c r="O15" s="4">
        <v>0.5</v>
      </c>
      <c r="P15" s="4">
        <v>0.5</v>
      </c>
    </row>
    <row r="16" spans="1:21" x14ac:dyDescent="0.2">
      <c r="A16" s="1" t="s">
        <v>15</v>
      </c>
      <c r="B16" s="1" t="s">
        <v>3</v>
      </c>
      <c r="C16" s="1" t="s">
        <v>4</v>
      </c>
      <c r="D16" s="1" t="s">
        <v>5</v>
      </c>
      <c r="M16" s="1" t="s">
        <v>21</v>
      </c>
      <c r="N16" s="4">
        <v>0.66666666666666663</v>
      </c>
      <c r="O16" s="4">
        <v>0.5</v>
      </c>
      <c r="P16" s="4">
        <v>0.5</v>
      </c>
    </row>
    <row r="17" spans="1:21" x14ac:dyDescent="0.2">
      <c r="A17" s="1" t="s">
        <v>20</v>
      </c>
      <c r="B17" s="1">
        <v>2</v>
      </c>
      <c r="C17" s="1">
        <v>1</v>
      </c>
      <c r="D17" s="1">
        <v>1</v>
      </c>
    </row>
    <row r="18" spans="1:21" ht="22" x14ac:dyDescent="0.3">
      <c r="A18" s="1" t="s">
        <v>21</v>
      </c>
      <c r="B18" s="1">
        <v>4</v>
      </c>
      <c r="C18" s="1">
        <v>1</v>
      </c>
      <c r="D18" s="1">
        <v>1</v>
      </c>
      <c r="M18" s="8" t="s">
        <v>40</v>
      </c>
      <c r="N18" s="8"/>
    </row>
    <row r="19" spans="1:21" x14ac:dyDescent="0.2">
      <c r="A19" s="1" t="s">
        <v>9</v>
      </c>
      <c r="B19" s="1">
        <v>6</v>
      </c>
      <c r="C19" s="1">
        <v>2</v>
      </c>
      <c r="D19" s="1">
        <v>2</v>
      </c>
      <c r="M19" s="1" t="s">
        <v>0</v>
      </c>
      <c r="N19" s="2" t="s">
        <v>1</v>
      </c>
      <c r="O19" s="2"/>
      <c r="P19" s="2"/>
      <c r="R19" s="1" t="s">
        <v>12</v>
      </c>
      <c r="S19" s="2" t="s">
        <v>1</v>
      </c>
      <c r="T19" s="2"/>
      <c r="U19" s="2"/>
    </row>
    <row r="20" spans="1:21" x14ac:dyDescent="0.2">
      <c r="M20" s="1" t="s">
        <v>2</v>
      </c>
      <c r="N20" s="1" t="s">
        <v>3</v>
      </c>
      <c r="O20" s="1" t="s">
        <v>4</v>
      </c>
      <c r="P20" s="1" t="s">
        <v>5</v>
      </c>
      <c r="R20" s="1" t="s">
        <v>16</v>
      </c>
      <c r="S20" s="1" t="s">
        <v>3</v>
      </c>
      <c r="T20" s="1" t="s">
        <v>4</v>
      </c>
      <c r="U20" s="1" t="s">
        <v>5</v>
      </c>
    </row>
    <row r="21" spans="1:21" x14ac:dyDescent="0.2">
      <c r="M21" s="1" t="s">
        <v>6</v>
      </c>
      <c r="N21" s="5" t="s">
        <v>29</v>
      </c>
      <c r="O21" s="5" t="s">
        <v>32</v>
      </c>
      <c r="P21" s="5" t="s">
        <v>32</v>
      </c>
      <c r="R21" s="1" t="s">
        <v>22</v>
      </c>
      <c r="S21" s="5" t="s">
        <v>38</v>
      </c>
      <c r="T21" s="5" t="s">
        <v>39</v>
      </c>
      <c r="U21" s="5" t="s">
        <v>35</v>
      </c>
    </row>
    <row r="22" spans="1:21" x14ac:dyDescent="0.2">
      <c r="M22" s="1" t="s">
        <v>7</v>
      </c>
      <c r="N22" s="5" t="s">
        <v>29</v>
      </c>
      <c r="O22" s="5" t="s">
        <v>31</v>
      </c>
      <c r="P22" s="5" t="s">
        <v>31</v>
      </c>
      <c r="R22" s="1" t="s">
        <v>23</v>
      </c>
      <c r="S22" s="5" t="s">
        <v>37</v>
      </c>
      <c r="T22" s="5" t="s">
        <v>39</v>
      </c>
      <c r="U22" s="5" t="s">
        <v>36</v>
      </c>
    </row>
    <row r="23" spans="1:21" x14ac:dyDescent="0.2">
      <c r="M23" s="1" t="s">
        <v>8</v>
      </c>
      <c r="N23" s="5" t="s">
        <v>30</v>
      </c>
      <c r="O23" s="5" t="s">
        <v>32</v>
      </c>
      <c r="P23" s="5" t="s">
        <v>32</v>
      </c>
    </row>
    <row r="24" spans="1:21" x14ac:dyDescent="0.2">
      <c r="E24" t="s">
        <v>26</v>
      </c>
      <c r="F24">
        <f>0.6*N3*N9*N16*S4*S9</f>
        <v>7.407407407407407E-2</v>
      </c>
    </row>
    <row r="25" spans="1:21" x14ac:dyDescent="0.2">
      <c r="E25" t="s">
        <v>27</v>
      </c>
      <c r="F25">
        <f>0.2*O3*O9*O16*T4*T9</f>
        <v>0</v>
      </c>
      <c r="M25" s="1" t="s">
        <v>10</v>
      </c>
      <c r="N25" s="2" t="s">
        <v>1</v>
      </c>
      <c r="O25" s="2"/>
      <c r="P25" s="2"/>
      <c r="R25" s="1" t="s">
        <v>13</v>
      </c>
      <c r="S25" s="2" t="s">
        <v>1</v>
      </c>
      <c r="T25" s="2"/>
      <c r="U25" s="2"/>
    </row>
    <row r="26" spans="1:21" x14ac:dyDescent="0.2">
      <c r="E26" t="s">
        <v>28</v>
      </c>
      <c r="F26">
        <f>0.2*P3*P9*P16*U4*U9</f>
        <v>0</v>
      </c>
      <c r="M26" s="1" t="s">
        <v>14</v>
      </c>
      <c r="N26" s="1" t="s">
        <v>3</v>
      </c>
      <c r="O26" s="1" t="s">
        <v>4</v>
      </c>
      <c r="P26" s="1" t="s">
        <v>5</v>
      </c>
      <c r="R26" s="1" t="s">
        <v>17</v>
      </c>
      <c r="S26" s="1" t="s">
        <v>3</v>
      </c>
      <c r="T26" s="1" t="s">
        <v>4</v>
      </c>
      <c r="U26" s="1" t="s">
        <v>5</v>
      </c>
    </row>
    <row r="27" spans="1:21" x14ac:dyDescent="0.2">
      <c r="M27" s="1" t="s">
        <v>18</v>
      </c>
      <c r="N27" s="5" t="s">
        <v>33</v>
      </c>
      <c r="O27" s="5" t="s">
        <v>35</v>
      </c>
      <c r="P27" s="5" t="s">
        <v>35</v>
      </c>
      <c r="R27" s="1" t="s">
        <v>24</v>
      </c>
      <c r="S27" s="5" t="s">
        <v>37</v>
      </c>
      <c r="T27" s="5" t="s">
        <v>35</v>
      </c>
      <c r="U27" s="5" t="s">
        <v>36</v>
      </c>
    </row>
    <row r="28" spans="1:21" x14ac:dyDescent="0.2">
      <c r="E28" s="7" t="s">
        <v>41</v>
      </c>
      <c r="M28" s="1" t="s">
        <v>19</v>
      </c>
      <c r="N28" s="5" t="s">
        <v>34</v>
      </c>
      <c r="O28" s="5" t="s">
        <v>36</v>
      </c>
      <c r="P28" s="5" t="s">
        <v>36</v>
      </c>
      <c r="R28" s="1" t="s">
        <v>25</v>
      </c>
      <c r="S28" s="5" t="s">
        <v>38</v>
      </c>
      <c r="T28" s="5" t="s">
        <v>36</v>
      </c>
      <c r="U28" s="5" t="s">
        <v>35</v>
      </c>
    </row>
    <row r="29" spans="1:21" x14ac:dyDescent="0.2">
      <c r="E29" t="s">
        <v>42</v>
      </c>
      <c r="F29">
        <f>0.6*(4/9)*(6/8)*(5/8)*(5/8)*(5/8)</f>
        <v>4.8828125E-2</v>
      </c>
    </row>
    <row r="30" spans="1:21" x14ac:dyDescent="0.2">
      <c r="E30" t="s">
        <v>43</v>
      </c>
      <c r="F30">
        <f>0.2*(2/5)*(1/4)*(2/4)*(2/4)*(1/4)</f>
        <v>1.2500000000000002E-3</v>
      </c>
    </row>
    <row r="31" spans="1:21" x14ac:dyDescent="0.2">
      <c r="E31" t="s">
        <v>44</v>
      </c>
      <c r="F31">
        <f>0.2*(2/5)*(1/4)*(2/4)*(3/4)*(3/4)</f>
        <v>5.6250000000000015E-3</v>
      </c>
      <c r="M31" s="1" t="s">
        <v>11</v>
      </c>
      <c r="N31" s="2" t="s">
        <v>1</v>
      </c>
      <c r="O31" s="2"/>
      <c r="P31" s="2"/>
    </row>
    <row r="32" spans="1:21" x14ac:dyDescent="0.2">
      <c r="M32" s="1" t="s">
        <v>15</v>
      </c>
      <c r="N32" s="1" t="s">
        <v>3</v>
      </c>
      <c r="O32" s="1" t="s">
        <v>4</v>
      </c>
      <c r="P32" s="1" t="s">
        <v>5</v>
      </c>
    </row>
    <row r="33" spans="5:16" x14ac:dyDescent="0.2">
      <c r="E33" s="7" t="s">
        <v>45</v>
      </c>
      <c r="M33" s="1" t="s">
        <v>20</v>
      </c>
      <c r="N33" s="5" t="s">
        <v>38</v>
      </c>
      <c r="O33" s="5" t="s">
        <v>39</v>
      </c>
      <c r="P33" s="6" t="s">
        <v>39</v>
      </c>
    </row>
    <row r="34" spans="5:16" x14ac:dyDescent="0.2">
      <c r="E34" t="s">
        <v>42</v>
      </c>
      <c r="F34">
        <f>F29/(F29+F30+F31)</f>
        <v>0.87657784011220186</v>
      </c>
      <c r="M34" s="1" t="s">
        <v>21</v>
      </c>
      <c r="N34" s="5" t="s">
        <v>37</v>
      </c>
      <c r="O34" s="5" t="s">
        <v>39</v>
      </c>
      <c r="P34" s="6" t="s">
        <v>39</v>
      </c>
    </row>
    <row r="35" spans="5:16" x14ac:dyDescent="0.2">
      <c r="E35" t="s">
        <v>43</v>
      </c>
      <c r="F35">
        <f>F30/(F29+F30+F31)</f>
        <v>2.2440392706872373E-2</v>
      </c>
    </row>
    <row r="36" spans="5:16" x14ac:dyDescent="0.2">
      <c r="E36" t="s">
        <v>44</v>
      </c>
      <c r="F36">
        <f>F31/(F29+F30+F31)</f>
        <v>0.10098176718092568</v>
      </c>
    </row>
    <row r="38" spans="5:16" x14ac:dyDescent="0.2">
      <c r="E38" t="s">
        <v>46</v>
      </c>
    </row>
    <row r="39" spans="5:16" ht="136" x14ac:dyDescent="0.2">
      <c r="E39" s="9" t="s">
        <v>47</v>
      </c>
    </row>
  </sheetData>
  <mergeCells count="15">
    <mergeCell ref="N31:P31"/>
    <mergeCell ref="S1:U1"/>
    <mergeCell ref="S7:U7"/>
    <mergeCell ref="N19:P19"/>
    <mergeCell ref="S19:U19"/>
    <mergeCell ref="N25:P25"/>
    <mergeCell ref="S25:U25"/>
    <mergeCell ref="B1:D1"/>
    <mergeCell ref="B8:D8"/>
    <mergeCell ref="B15:D15"/>
    <mergeCell ref="H1:J1"/>
    <mergeCell ref="H8:J8"/>
    <mergeCell ref="N1:P1"/>
    <mergeCell ref="N7:P7"/>
    <mergeCell ref="N13:P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ГЕОРГИЕВ КРЪСТЕВ ИИ 3к</dc:creator>
  <cp:lastModifiedBy>ИВАН ГЕОРГИЕВ КРЪСТЕВ ИИ 3к</cp:lastModifiedBy>
  <dcterms:created xsi:type="dcterms:W3CDTF">2026-10-27T13:35:31Z</dcterms:created>
  <dcterms:modified xsi:type="dcterms:W3CDTF">2026-10-27T17:26:42Z</dcterms:modified>
</cp:coreProperties>
</file>